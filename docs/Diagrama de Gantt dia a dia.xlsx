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8_{747172FA-9831-4B44-B565-0C150BF134E9}"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5" i="11" l="1"/>
  <c r="H31" i="11"/>
  <c r="H30" i="11"/>
  <c r="H29" i="11"/>
  <c r="H28" i="11"/>
  <c r="H7" i="11"/>
  <c r="I5" i="11" l="1"/>
  <c r="H37" i="11"/>
  <c r="H36" i="11"/>
  <c r="H27" i="11"/>
  <c r="H26" i="11"/>
  <c r="H25" i="11"/>
  <c r="H23" i="11"/>
  <c r="H17" i="11"/>
  <c r="H8" i="11"/>
  <c r="H9" i="11" l="1"/>
  <c r="I6" i="11"/>
  <c r="H24" i="11" l="1"/>
  <c r="J5" i="11"/>
  <c r="K5" i="11" s="1"/>
  <c r="L5" i="11" s="1"/>
  <c r="M5" i="11" s="1"/>
  <c r="N5" i="11" s="1"/>
  <c r="O5" i="11" s="1"/>
  <c r="P5" i="11" s="1"/>
  <c r="I4" i="11"/>
  <c r="P4" i="11" l="1"/>
  <c r="Q5" i="11"/>
  <c r="R5" i="11" s="1"/>
  <c r="S5" i="11" s="1"/>
  <c r="T5" i="11" s="1"/>
  <c r="U5" i="11" s="1"/>
  <c r="V5" i="11" s="1"/>
  <c r="W5" i="11" s="1"/>
  <c r="J6" i="11"/>
  <c r="H15" i="11" l="1"/>
  <c r="W4" i="11"/>
  <c r="X5" i="11"/>
  <c r="Y5" i="11" s="1"/>
  <c r="Z5" i="11" s="1"/>
  <c r="AA5" i="11" s="1"/>
  <c r="AB5" i="11" s="1"/>
  <c r="AC5" i="11" s="1"/>
  <c r="AD5" i="11" s="1"/>
  <c r="K6" i="11"/>
  <c r="H16" i="11" l="1"/>
  <c r="AE5" i="11"/>
  <c r="AF5" i="11" s="1"/>
  <c r="AG5" i="11" s="1"/>
  <c r="AH5" i="11" s="1"/>
  <c r="AI5" i="11" s="1"/>
  <c r="AJ5" i="11" s="1"/>
  <c r="AD4" i="11"/>
  <c r="L6" i="11"/>
  <c r="H18" i="11" l="1"/>
  <c r="AK5" i="11"/>
  <c r="AL5" i="11" s="1"/>
  <c r="AM5" i="11" s="1"/>
  <c r="AN5" i="11" s="1"/>
  <c r="AO5" i="11" s="1"/>
  <c r="AP5" i="11" s="1"/>
  <c r="AQ5" i="11" s="1"/>
  <c r="M6" i="11"/>
  <c r="H19" i="11" l="1"/>
  <c r="AR5" i="11"/>
  <c r="AS5" i="11" s="1"/>
  <c r="AK4" i="11"/>
  <c r="N6" i="11"/>
  <c r="H10" i="11" l="1"/>
  <c r="AT5" i="11"/>
  <c r="AS6" i="11"/>
  <c r="AR4" i="11"/>
  <c r="O6" i="11"/>
  <c r="H20" i="11" l="1"/>
  <c r="AU5" i="11"/>
  <c r="AT6" i="11"/>
  <c r="H22" i="11" l="1"/>
  <c r="H21" i="11"/>
  <c r="AV5" i="1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I6" i="11"/>
  <c r="AD6" i="11"/>
  <c r="BK5" i="11" l="1"/>
  <c r="BJ6" i="11"/>
  <c r="AE6" i="11"/>
  <c r="BL5" i="11" l="1"/>
  <c r="BM5" i="11" s="1"/>
  <c r="BK6" i="11"/>
  <c r="AF6" i="11"/>
  <c r="BM6" i="11" l="1"/>
  <c r="BM4" i="11"/>
  <c r="BN5" i="11"/>
  <c r="BL6" i="11"/>
  <c r="AG6" i="11"/>
  <c r="BN6" i="11" l="1"/>
  <c r="BO5" i="11"/>
  <c r="AH6" i="11"/>
  <c r="BO6" i="11" l="1"/>
  <c r="BP5" i="11"/>
  <c r="AI6" i="11"/>
  <c r="BP6" i="11" l="1"/>
  <c r="BQ5" i="11"/>
  <c r="AJ6" i="11"/>
  <c r="BQ6" i="11" l="1"/>
  <c r="BR5" i="11"/>
  <c r="AK6" i="11"/>
  <c r="BR6" i="11" l="1"/>
  <c r="BS5" i="11"/>
  <c r="AL6" i="11"/>
  <c r="BS6" i="11" l="1"/>
  <c r="BT5" i="11"/>
  <c r="AM6" i="11"/>
  <c r="BT6" i="11" l="1"/>
  <c r="BT4" i="11"/>
  <c r="BU5" i="11"/>
  <c r="AN6" i="11"/>
  <c r="BU6" i="11" l="1"/>
  <c r="BV5" i="11"/>
  <c r="AO6" i="11"/>
  <c r="BV6" i="11" l="1"/>
  <c r="BW5" i="11"/>
  <c r="AP6" i="11"/>
  <c r="BX5" i="11" l="1"/>
  <c r="BW6" i="11"/>
  <c r="AQ6" i="11"/>
  <c r="BY5" i="11" l="1"/>
  <c r="BX6" i="11"/>
  <c r="AR6" i="11"/>
  <c r="BZ5" i="11" l="1"/>
  <c r="BY6" i="11"/>
  <c r="BZ6" i="11" l="1"/>
  <c r="CA5" i="11"/>
  <c r="CA6" i="11" l="1"/>
  <c r="CA4" i="11"/>
  <c r="CB5" i="11"/>
  <c r="CB6" i="11" l="1"/>
  <c r="CC5" i="11"/>
  <c r="CC6" i="11" l="1"/>
  <c r="CD5" i="11"/>
  <c r="CE5" i="11" l="1"/>
  <c r="CD6" i="11"/>
  <c r="CF5" i="11" l="1"/>
  <c r="CE6" i="11"/>
  <c r="CG5" i="11" l="1"/>
  <c r="CG6" i="11" s="1"/>
  <c r="CF6" i="11"/>
</calcChain>
</file>

<file path=xl/sharedStrings.xml><?xml version="1.0" encoding="utf-8"?>
<sst xmlns="http://schemas.openxmlformats.org/spreadsheetml/2006/main" count="94" uniqueCount="70">
  <si>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</si>
  <si>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</si>
  <si>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</si>
  <si>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</si>
  <si>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</si>
  <si>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</si>
  <si>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</si>
  <si>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</si>
  <si>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</si>
  <si>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</si>
  <si>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</si>
  <si>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</si>
  <si>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</si>
  <si>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</si>
  <si>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TÍTULO DEL PROYECTO</t>
  </si>
  <si>
    <t>Nombre de la compañía</t>
  </si>
  <si>
    <t>Responsable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</si>
  <si>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</si>
  <si>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</si>
  <si>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</si>
  <si>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</si>
  <si>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</si>
  <si>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</si>
  <si>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</si>
  <si>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</si>
  <si>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</si>
  <si>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</si>
  <si>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</si>
  <si>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</si>
  <si>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</si>
  <si>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</si>
  <si>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</si>
  <si>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</si>
  <si>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</si>
  <si>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</si>
  <si>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</si>
  <si>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</si>
  <si>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</si>
  <si>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</si>
  <si>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</si>
  <si>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</si>
  <si>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Documentacion</t>
  </si>
  <si>
    <t>Base de datos</t>
  </si>
  <si>
    <t>Pau</t>
  </si>
  <si>
    <t>Definición de requisitos funcionales y no funcionales</t>
  </si>
  <si>
    <t>Diagramas de Casos de Uso</t>
  </si>
  <si>
    <t>Creación del Diagrama Entidad-Relación (E-R)</t>
  </si>
  <si>
    <t>Creación del Diagrama de Clases</t>
  </si>
  <si>
    <t>Programación de funciones y triggers</t>
  </si>
  <si>
    <t>Creación de usuarios y asignación de permisos</t>
  </si>
  <si>
    <t>Despliegue local (XAMPP/MySQL) y verificación</t>
  </si>
  <si>
    <t>Tarea 1: Introducción, Objetivos y Estado del Arte</t>
  </si>
  <si>
    <t>Tarea 2: Metodología, Tecnologías y Planificación</t>
  </si>
  <si>
    <t>Tarea 4: Despliegue, Pruebas y Conclusiones</t>
  </si>
  <si>
    <t>Tarea 5: Bibliografía y Manuales (Anexos)</t>
  </si>
  <si>
    <t>Creación del script DDL (Tablas, PK, FK)</t>
  </si>
  <si>
    <t>Generación de datos de prueba (Scripts Inserts)</t>
  </si>
  <si>
    <t>Servidor Java y Sockets</t>
  </si>
  <si>
    <t>Configuración Eclipse e Hibernate</t>
  </si>
  <si>
    <t>Mapeo ORM (Entidades Java a MySQL)</t>
  </si>
  <si>
    <t>Bucle ServerSocket multihilo</t>
  </si>
  <si>
    <t>Lógica respuestas cliente (Protocolo Sockets)</t>
  </si>
  <si>
    <t>Aplicación Escritorio (JavaFX)</t>
  </si>
  <si>
    <t>Diseño Vistas XML y Controladores</t>
  </si>
  <si>
    <t>Conexión Socket Cliente al Servidor</t>
  </si>
  <si>
    <t>Gestión CRUD de Pacientes y generación QR</t>
  </si>
  <si>
    <t>Aplicación Móvil (Android)</t>
  </si>
  <si>
    <t>Diseño Interfaz UI en Kotlin</t>
  </si>
  <si>
    <t>Conexión Socket en hilo secundario (Coroutines)</t>
  </si>
  <si>
    <t>Integración lectura QR con cámara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</si>
</sst>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C0A]d\ &quot;de&quot;\ mmmm\ &quot;de&quot;\ yyyy;@"/>
    <numFmt numFmtId="168" formatCode="d\-m\-yy;@"/>
    <numFmt numFmtId="169"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99"/>
        <bgColor indexed="64"/>
      </patternFill>
    </fill>
    <fill>
      <patternFill patternType="solid">
        <fgColor rgb="FF92D050"/>
        <bgColor indexed="64"/>
      </patternFill>
    </fill>
    <fill>
      <patternFill patternType="solid">
        <fgColor rgb="FF00B05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2" borderId="0" applyNumberFormat="0" applyBorder="0" applyAlignment="0" applyProtection="0"/>
    <xf numFmtId="0" fontId="28" fillId="13" borderId="0" applyNumberFormat="0" applyBorder="0" applyAlignment="0" applyProtection="0"/>
    <xf numFmtId="0" fontId="29" fillId="14" borderId="0" applyNumberFormat="0" applyBorder="0" applyAlignment="0" applyProtection="0"/>
    <xf numFmtId="0" fontId="30" fillId="15" borderId="11" applyNumberFormat="0" applyAlignment="0" applyProtection="0"/>
    <xf numFmtId="0" fontId="31" fillId="16" borderId="12" applyNumberFormat="0" applyAlignment="0" applyProtection="0"/>
    <xf numFmtId="0" fontId="32" fillId="16" borderId="11" applyNumberFormat="0" applyAlignment="0" applyProtection="0"/>
    <xf numFmtId="0" fontId="33" fillId="0" borderId="13" applyNumberFormat="0" applyFill="0" applyAlignment="0" applyProtection="0"/>
    <xf numFmtId="0" fontId="34" fillId="17" borderId="14" applyNumberFormat="0" applyAlignment="0" applyProtection="0"/>
    <xf numFmtId="0" fontId="35" fillId="0" borderId="0" applyNumberFormat="0" applyFill="0" applyBorder="0" applyAlignment="0" applyProtection="0"/>
    <xf numFmtId="0" fontId="9" fillId="18"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22"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22"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22"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22"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22"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cellStyleXfs>
  <cellXfs count="10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1" borderId="1" xfId="0" applyFont="1" applyFill="1" applyBorder="1" applyAlignment="1">
      <alignment horizontal="left" vertical="center" indent="1"/>
    </xf>
    <xf numFmtId="0" fontId="7" fillId="11" borderId="1" xfId="0" applyFont="1" applyFill="1" applyBorder="1" applyAlignment="1">
      <alignment horizontal="center" vertical="center" wrapText="1"/>
    </xf>
    <xf numFmtId="0" fontId="12" fillId="10"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5" borderId="2" xfId="11" applyFill="1">
      <alignment horizontal="center" vertical="center"/>
    </xf>
    <xf numFmtId="0" fontId="9" fillId="9"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9"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7" borderId="2" xfId="0" applyNumberFormat="1" applyFill="1" applyBorder="1" applyAlignment="1">
      <alignment horizontal="center" vertical="center"/>
    </xf>
    <xf numFmtId="168" fontId="5" fillId="7" borderId="2" xfId="0" applyNumberFormat="1" applyFont="1" applyFill="1" applyBorder="1" applyAlignment="1">
      <alignment horizontal="center" vertical="center"/>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69" fontId="11" fillId="6" borderId="6" xfId="0" applyNumberFormat="1" applyFont="1" applyFill="1" applyBorder="1" applyAlignment="1">
      <alignment horizontal="center" vertical="center"/>
    </xf>
    <xf numFmtId="169" fontId="11" fillId="6" borderId="0" xfId="0" applyNumberFormat="1" applyFont="1" applyFill="1" applyAlignment="1">
      <alignment horizontal="center" vertical="center"/>
    </xf>
    <xf numFmtId="169" fontId="11" fillId="6" borderId="7" xfId="0" applyNumberFormat="1" applyFont="1" applyFill="1" applyBorder="1" applyAlignment="1">
      <alignment horizontal="center" vertical="center"/>
    </xf>
    <xf numFmtId="168" fontId="9" fillId="3" borderId="2" xfId="10" applyFill="1">
      <alignment horizontal="center" vertical="center"/>
    </xf>
    <xf numFmtId="168" fontId="9" fillId="4" borderId="2" xfId="10" applyFill="1">
      <alignment horizontal="center" vertical="center"/>
    </xf>
    <xf numFmtId="168" fontId="9" fillId="9" borderId="2" xfId="10" applyFill="1">
      <alignment horizontal="center" vertical="center"/>
    </xf>
    <xf numFmtId="168" fontId="9" fillId="0" borderId="2" xfId="10">
      <alignment horizontal="center" vertical="center"/>
    </xf>
    <xf numFmtId="0" fontId="9" fillId="43" borderId="2" xfId="11" applyFill="1">
      <alignment horizontal="center" vertical="center"/>
    </xf>
    <xf numFmtId="9" fontId="5" fillId="43" borderId="2" xfId="2" applyFont="1" applyFill="1" applyBorder="1" applyAlignment="1">
      <alignment horizontal="center" vertical="center"/>
    </xf>
    <xf numFmtId="0" fontId="6" fillId="43" borderId="2" xfId="0" applyFont="1" applyFill="1" applyBorder="1" applyAlignment="1">
      <alignment horizontal="left" vertical="center" indent="1"/>
    </xf>
    <xf numFmtId="168" fontId="0" fillId="43" borderId="2" xfId="0" applyNumberFormat="1" applyFill="1" applyBorder="1" applyAlignment="1">
      <alignment horizontal="center" vertical="center"/>
    </xf>
    <xf numFmtId="168" fontId="5" fillId="43" borderId="2" xfId="0" applyNumberFormat="1" applyFont="1" applyFill="1" applyBorder="1" applyAlignment="1">
      <alignment horizontal="center" vertical="center"/>
    </xf>
    <xf numFmtId="0" fontId="9" fillId="44" borderId="2" xfId="12" applyFill="1">
      <alignment horizontal="left" vertical="center" indent="2"/>
    </xf>
    <xf numFmtId="0" fontId="9" fillId="44" borderId="2" xfId="11" applyFill="1">
      <alignment horizontal="center" vertical="center"/>
    </xf>
    <xf numFmtId="9" fontId="5" fillId="44" borderId="2" xfId="2" applyFont="1" applyFill="1" applyBorder="1" applyAlignment="1">
      <alignment horizontal="center" vertical="center"/>
    </xf>
    <xf numFmtId="168" fontId="9" fillId="44" borderId="2" xfId="10" applyFill="1">
      <alignment horizontal="center" vertical="center"/>
    </xf>
    <xf numFmtId="0" fontId="9" fillId="45" borderId="2" xfId="12" applyFill="1">
      <alignment horizontal="left" vertical="center" indent="2"/>
    </xf>
    <xf numFmtId="0" fontId="9" fillId="45" borderId="2" xfId="11" applyFill="1">
      <alignment horizontal="center" vertical="center"/>
    </xf>
    <xf numFmtId="9" fontId="5" fillId="45" borderId="2" xfId="2" applyFont="1" applyFill="1" applyBorder="1" applyAlignment="1">
      <alignment horizontal="center" vertical="center"/>
    </xf>
    <xf numFmtId="168" fontId="9" fillId="45" borderId="2" xfId="10" applyFill="1">
      <alignment horizontal="center" vertical="center"/>
    </xf>
    <xf numFmtId="0" fontId="9" fillId="46" borderId="2" xfId="12" applyFill="1">
      <alignment horizontal="left" vertical="center" indent="2"/>
    </xf>
    <xf numFmtId="0" fontId="9" fillId="46" borderId="2" xfId="11" applyFill="1">
      <alignment horizontal="center" vertical="center"/>
    </xf>
    <xf numFmtId="9" fontId="5" fillId="46" borderId="2" xfId="2" applyFont="1" applyFill="1" applyBorder="1" applyAlignment="1">
      <alignment horizontal="center" vertical="center"/>
    </xf>
    <xf numFmtId="168" fontId="9" fillId="46" borderId="2" xfId="10" applyFill="1">
      <alignment horizontal="center" vertical="center"/>
    </xf>
    <xf numFmtId="167" fontId="0" fillId="6" borderId="4" xfId="0" applyNumberFormat="1" applyFill="1" applyBorder="1" applyAlignment="1">
      <alignment horizontal="left" vertical="center" wrapText="1" indent="1"/>
    </xf>
    <xf numFmtId="167" fontId="0" fillId="6" borderId="1" xfId="0" applyNumberFormat="1" applyFill="1" applyBorder="1" applyAlignment="1">
      <alignment horizontal="left" vertical="center" wrapText="1" indent="1"/>
    </xf>
    <xf numFmtId="167" fontId="0" fillId="6" borderId="5" xfId="0" applyNumberFormat="1" applyFill="1" applyBorder="1" applyAlignment="1">
      <alignment horizontal="left" vertical="center" wrapText="1" indent="1"/>
    </xf>
    <xf numFmtId="166"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FF99"/>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G40"/>
  <sheetViews>
    <sheetView showGridLines="0" tabSelected="1" showRuler="0" zoomScale="70" zoomScaleNormal="70" zoomScalePageLayoutView="70" workbookViewId="0">
      <pane ySplit="6" topLeftCell="A7" activePane="bottomLeft" state="frozen"/>
      <selection pane="bottomLeft" activeCell="P40" sqref="P40"/>
    </sheetView>
  </sheetViews>
  <sheetFormatPr baseColWidth="10" defaultColWidth="9.109375" defaultRowHeight="30" customHeight="1" x14ac:dyDescent="0.3"/>
  <cols>
    <col min="1" max="1" width="2.6640625" style="42" customWidth="1"/>
    <col min="2" max="2" width="64.5546875" bestFit="1" customWidth="1"/>
    <col min="3" max="3" width="30.6640625" customWidth="1"/>
    <col min="4" max="4" width="10.6640625" customWidth="1"/>
    <col min="5" max="5" width="10.44140625" style="5" customWidth="1"/>
    <col min="6" max="6" width="10.44140625" customWidth="1"/>
    <col min="7" max="7" width="2.6640625" customWidth="1"/>
    <col min="8" max="8" width="9.44140625" hidden="1" customWidth="1"/>
    <col min="9" max="14" width="3.33203125" customWidth="1"/>
    <col min="15" max="15" width="9.6640625" customWidth="1"/>
    <col min="16" max="49" width="3.33203125" customWidth="1"/>
    <col min="50" max="50" width="7.109375" customWidth="1"/>
    <col min="51" max="56" width="3.33203125" customWidth="1"/>
    <col min="57" max="57" width="7" customWidth="1"/>
    <col min="58" max="63" width="3.33203125" customWidth="1"/>
    <col min="64" max="64" width="6.109375" customWidth="1"/>
    <col min="65" max="65" width="2.77734375" customWidth="1"/>
    <col min="66" max="66" width="3.5546875" customWidth="1"/>
    <col min="67" max="67" width="2.44140625" customWidth="1"/>
    <col min="68" max="68" width="4.33203125" customWidth="1"/>
    <col min="69" max="69" width="3.5546875" customWidth="1"/>
    <col min="70" max="70" width="2.88671875" customWidth="1"/>
    <col min="71" max="71" width="8.109375" customWidth="1"/>
    <col min="72" max="72" width="2.77734375" customWidth="1"/>
    <col min="73" max="73" width="3.5546875" customWidth="1"/>
    <col min="74" max="74" width="2.44140625" customWidth="1"/>
    <col min="75" max="75" width="4.33203125" customWidth="1"/>
    <col min="76" max="76" width="3.5546875" customWidth="1"/>
    <col min="77" max="77" width="2.88671875" customWidth="1"/>
    <col min="78" max="78" width="8.6640625" customWidth="1"/>
    <col min="79" max="79" width="2.77734375" customWidth="1"/>
    <col min="80" max="80" width="3.5546875" customWidth="1"/>
    <col min="81" max="81" width="2.44140625" customWidth="1"/>
    <col min="82" max="82" width="4.33203125" customWidth="1"/>
    <col min="83" max="83" width="3.5546875" customWidth="1"/>
    <col min="84" max="84" width="2.88671875" customWidth="1"/>
    <col min="85" max="85" width="5.33203125" customWidth="1"/>
  </cols>
  <sheetData>
    <row r="1" spans="1:85" ht="30" customHeight="1" x14ac:dyDescent="0.55000000000000004">
      <c r="A1" s="43" t="s">
        <v>0</v>
      </c>
      <c r="B1" s="46" t="s">
        <v>14</v>
      </c>
      <c r="C1" s="1"/>
      <c r="D1" s="2"/>
      <c r="E1" s="4"/>
      <c r="F1" s="31"/>
      <c r="H1" s="2"/>
      <c r="I1" s="61" t="s">
        <v>26</v>
      </c>
    </row>
    <row r="2" spans="1:85" ht="30" customHeight="1" x14ac:dyDescent="0.35">
      <c r="A2" s="42" t="s">
        <v>1</v>
      </c>
      <c r="B2" s="47" t="s">
        <v>15</v>
      </c>
      <c r="I2" s="62" t="s">
        <v>27</v>
      </c>
    </row>
    <row r="3" spans="1:85" ht="30" customHeight="1" x14ac:dyDescent="0.3">
      <c r="A3" s="42" t="s">
        <v>2</v>
      </c>
      <c r="B3" s="48" t="s">
        <v>16</v>
      </c>
      <c r="C3" s="100" t="s">
        <v>19</v>
      </c>
      <c r="D3" s="101"/>
      <c r="E3" s="99">
        <v>46293</v>
      </c>
      <c r="F3" s="99"/>
    </row>
    <row r="4" spans="1:85" ht="30" customHeight="1" x14ac:dyDescent="0.3">
      <c r="A4" s="43" t="s">
        <v>3</v>
      </c>
      <c r="C4" s="100" t="s">
        <v>20</v>
      </c>
      <c r="D4" s="101"/>
      <c r="E4" s="7">
        <v>1</v>
      </c>
      <c r="I4" s="96">
        <f>I5</f>
        <v>46293</v>
      </c>
      <c r="J4" s="97"/>
      <c r="K4" s="97"/>
      <c r="L4" s="97"/>
      <c r="M4" s="97"/>
      <c r="N4" s="97"/>
      <c r="O4" s="98"/>
      <c r="P4" s="96">
        <f>P5</f>
        <v>46300</v>
      </c>
      <c r="Q4" s="97"/>
      <c r="R4" s="97"/>
      <c r="S4" s="97"/>
      <c r="T4" s="97"/>
      <c r="U4" s="97"/>
      <c r="V4" s="98"/>
      <c r="W4" s="96">
        <f>W5</f>
        <v>46307</v>
      </c>
      <c r="X4" s="97"/>
      <c r="Y4" s="97"/>
      <c r="Z4" s="97"/>
      <c r="AA4" s="97"/>
      <c r="AB4" s="97"/>
      <c r="AC4" s="98"/>
      <c r="AD4" s="96">
        <f>AD5</f>
        <v>46314</v>
      </c>
      <c r="AE4" s="97"/>
      <c r="AF4" s="97"/>
      <c r="AG4" s="97"/>
      <c r="AH4" s="97"/>
      <c r="AI4" s="97"/>
      <c r="AJ4" s="98"/>
      <c r="AK4" s="96">
        <f>AK5</f>
        <v>46321</v>
      </c>
      <c r="AL4" s="97"/>
      <c r="AM4" s="97"/>
      <c r="AN4" s="97"/>
      <c r="AO4" s="97"/>
      <c r="AP4" s="97"/>
      <c r="AQ4" s="98"/>
      <c r="AR4" s="96">
        <f>AR5</f>
        <v>46328</v>
      </c>
      <c r="AS4" s="97"/>
      <c r="AT4" s="97"/>
      <c r="AU4" s="97"/>
      <c r="AV4" s="97"/>
      <c r="AW4" s="97"/>
      <c r="AX4" s="98"/>
      <c r="AY4" s="96">
        <f>AY5</f>
        <v>46335</v>
      </c>
      <c r="AZ4" s="97"/>
      <c r="BA4" s="97"/>
      <c r="BB4" s="97"/>
      <c r="BC4" s="97"/>
      <c r="BD4" s="97"/>
      <c r="BE4" s="98"/>
      <c r="BF4" s="96">
        <f>BF5</f>
        <v>46342</v>
      </c>
      <c r="BG4" s="97"/>
      <c r="BH4" s="97"/>
      <c r="BI4" s="97"/>
      <c r="BJ4" s="97"/>
      <c r="BK4" s="97"/>
      <c r="BL4" s="98"/>
      <c r="BM4" s="96">
        <f>BM5</f>
        <v>46349</v>
      </c>
      <c r="BN4" s="97"/>
      <c r="BO4" s="97"/>
      <c r="BP4" s="97"/>
      <c r="BQ4" s="97"/>
      <c r="BR4" s="97"/>
      <c r="BS4" s="98"/>
      <c r="BT4" s="96">
        <f>BT5</f>
        <v>46356</v>
      </c>
      <c r="BU4" s="97"/>
      <c r="BV4" s="97"/>
      <c r="BW4" s="97"/>
      <c r="BX4" s="97"/>
      <c r="BY4" s="97"/>
      <c r="BZ4" s="98"/>
      <c r="CA4" s="96">
        <f>CA5</f>
        <v>46363</v>
      </c>
      <c r="CB4" s="97"/>
      <c r="CC4" s="97"/>
      <c r="CD4" s="97"/>
      <c r="CE4" s="97"/>
      <c r="CF4" s="97"/>
      <c r="CG4" s="98"/>
    </row>
    <row r="5" spans="1:85" ht="15" customHeight="1" x14ac:dyDescent="0.3">
      <c r="A5" s="43" t="s">
        <v>4</v>
      </c>
      <c r="B5" s="60"/>
      <c r="C5" s="60"/>
      <c r="D5" s="60"/>
      <c r="E5" s="60"/>
      <c r="F5" s="60"/>
      <c r="G5" s="60"/>
      <c r="I5" s="72">
        <f>Inicio_del_proyecto-WEEKDAY(Inicio_del_proyecto,1)+2+7*(Semana_para_mostrar-1)</f>
        <v>46293</v>
      </c>
      <c r="J5" s="73">
        <f>I5+1</f>
        <v>46294</v>
      </c>
      <c r="K5" s="73">
        <f t="shared" ref="K5:AX5" si="0">J5+1</f>
        <v>46295</v>
      </c>
      <c r="L5" s="73">
        <f t="shared" si="0"/>
        <v>46296</v>
      </c>
      <c r="M5" s="73">
        <f t="shared" si="0"/>
        <v>46297</v>
      </c>
      <c r="N5" s="73">
        <f t="shared" si="0"/>
        <v>46298</v>
      </c>
      <c r="O5" s="74">
        <f t="shared" si="0"/>
        <v>46299</v>
      </c>
      <c r="P5" s="72">
        <f>O5+1</f>
        <v>46300</v>
      </c>
      <c r="Q5" s="73">
        <f>P5+1</f>
        <v>46301</v>
      </c>
      <c r="R5" s="73">
        <f t="shared" si="0"/>
        <v>46302</v>
      </c>
      <c r="S5" s="73">
        <f t="shared" si="0"/>
        <v>46303</v>
      </c>
      <c r="T5" s="73">
        <f t="shared" si="0"/>
        <v>46304</v>
      </c>
      <c r="U5" s="73">
        <f t="shared" si="0"/>
        <v>46305</v>
      </c>
      <c r="V5" s="74">
        <f t="shared" si="0"/>
        <v>46306</v>
      </c>
      <c r="W5" s="72">
        <f>V5+1</f>
        <v>46307</v>
      </c>
      <c r="X5" s="73">
        <f>W5+1</f>
        <v>46308</v>
      </c>
      <c r="Y5" s="73">
        <f t="shared" si="0"/>
        <v>46309</v>
      </c>
      <c r="Z5" s="73">
        <f t="shared" si="0"/>
        <v>46310</v>
      </c>
      <c r="AA5" s="73">
        <f t="shared" si="0"/>
        <v>46311</v>
      </c>
      <c r="AB5" s="73">
        <f t="shared" si="0"/>
        <v>46312</v>
      </c>
      <c r="AC5" s="74">
        <f t="shared" si="0"/>
        <v>46313</v>
      </c>
      <c r="AD5" s="72">
        <f>AC5+1</f>
        <v>46314</v>
      </c>
      <c r="AE5" s="73">
        <f>AD5+1</f>
        <v>46315</v>
      </c>
      <c r="AF5" s="73">
        <f t="shared" si="0"/>
        <v>46316</v>
      </c>
      <c r="AG5" s="73">
        <f t="shared" si="0"/>
        <v>46317</v>
      </c>
      <c r="AH5" s="73">
        <f t="shared" si="0"/>
        <v>46318</v>
      </c>
      <c r="AI5" s="73">
        <f t="shared" si="0"/>
        <v>46319</v>
      </c>
      <c r="AJ5" s="74">
        <f t="shared" si="0"/>
        <v>46320</v>
      </c>
      <c r="AK5" s="72">
        <f>AJ5+1</f>
        <v>46321</v>
      </c>
      <c r="AL5" s="73">
        <f>AK5+1</f>
        <v>46322</v>
      </c>
      <c r="AM5" s="73">
        <f t="shared" si="0"/>
        <v>46323</v>
      </c>
      <c r="AN5" s="73">
        <f t="shared" si="0"/>
        <v>46324</v>
      </c>
      <c r="AO5" s="73">
        <f t="shared" si="0"/>
        <v>46325</v>
      </c>
      <c r="AP5" s="73">
        <f t="shared" si="0"/>
        <v>46326</v>
      </c>
      <c r="AQ5" s="74">
        <f t="shared" si="0"/>
        <v>46327</v>
      </c>
      <c r="AR5" s="72">
        <f>AQ5+1</f>
        <v>46328</v>
      </c>
      <c r="AS5" s="73">
        <f>AR5+1</f>
        <v>46329</v>
      </c>
      <c r="AT5" s="73">
        <f t="shared" si="0"/>
        <v>46330</v>
      </c>
      <c r="AU5" s="73">
        <f t="shared" si="0"/>
        <v>46331</v>
      </c>
      <c r="AV5" s="73">
        <f t="shared" si="0"/>
        <v>46332</v>
      </c>
      <c r="AW5" s="73">
        <f t="shared" si="0"/>
        <v>46333</v>
      </c>
      <c r="AX5" s="74">
        <f t="shared" si="0"/>
        <v>46334</v>
      </c>
      <c r="AY5" s="72">
        <f>AX5+1</f>
        <v>46335</v>
      </c>
      <c r="AZ5" s="73">
        <f>AY5+1</f>
        <v>46336</v>
      </c>
      <c r="BA5" s="73">
        <f t="shared" ref="BA5:BE5" si="1">AZ5+1</f>
        <v>46337</v>
      </c>
      <c r="BB5" s="73">
        <f t="shared" si="1"/>
        <v>46338</v>
      </c>
      <c r="BC5" s="73">
        <f t="shared" si="1"/>
        <v>46339</v>
      </c>
      <c r="BD5" s="73">
        <f t="shared" si="1"/>
        <v>46340</v>
      </c>
      <c r="BE5" s="74">
        <f t="shared" si="1"/>
        <v>46341</v>
      </c>
      <c r="BF5" s="72">
        <f>BE5+1</f>
        <v>46342</v>
      </c>
      <c r="BG5" s="73">
        <f>BF5+1</f>
        <v>46343</v>
      </c>
      <c r="BH5" s="73">
        <f t="shared" ref="BH5:BL5" si="2">BG5+1</f>
        <v>46344</v>
      </c>
      <c r="BI5" s="73">
        <f t="shared" si="2"/>
        <v>46345</v>
      </c>
      <c r="BJ5" s="73">
        <f t="shared" si="2"/>
        <v>46346</v>
      </c>
      <c r="BK5" s="73">
        <f t="shared" si="2"/>
        <v>46347</v>
      </c>
      <c r="BL5" s="74">
        <f t="shared" si="2"/>
        <v>46348</v>
      </c>
      <c r="BM5" s="72">
        <f>BL5+1</f>
        <v>46349</v>
      </c>
      <c r="BN5" s="73">
        <f>BM5+1</f>
        <v>46350</v>
      </c>
      <c r="BO5" s="73">
        <f t="shared" ref="BO5" si="3">BN5+1</f>
        <v>46351</v>
      </c>
      <c r="BP5" s="73">
        <f t="shared" ref="BP5" si="4">BO5+1</f>
        <v>46352</v>
      </c>
      <c r="BQ5" s="73">
        <f t="shared" ref="BQ5" si="5">BP5+1</f>
        <v>46353</v>
      </c>
      <c r="BR5" s="73">
        <f t="shared" ref="BR5" si="6">BQ5+1</f>
        <v>46354</v>
      </c>
      <c r="BS5" s="74">
        <f t="shared" ref="BS5" si="7">BR5+1</f>
        <v>46355</v>
      </c>
      <c r="BT5" s="72">
        <f>BS5+1</f>
        <v>46356</v>
      </c>
      <c r="BU5" s="73">
        <f>BT5+1</f>
        <v>46357</v>
      </c>
      <c r="BV5" s="73">
        <f t="shared" ref="BV5" si="8">BU5+1</f>
        <v>46358</v>
      </c>
      <c r="BW5" s="73">
        <f t="shared" ref="BW5" si="9">BV5+1</f>
        <v>46359</v>
      </c>
      <c r="BX5" s="73">
        <f t="shared" ref="BX5" si="10">BW5+1</f>
        <v>46360</v>
      </c>
      <c r="BY5" s="73">
        <f t="shared" ref="BY5" si="11">BX5+1</f>
        <v>46361</v>
      </c>
      <c r="BZ5" s="74">
        <f t="shared" ref="BZ5" si="12">BY5+1</f>
        <v>46362</v>
      </c>
      <c r="CA5" s="72">
        <f>BZ5+1</f>
        <v>46363</v>
      </c>
      <c r="CB5" s="73">
        <f>CA5+1</f>
        <v>46364</v>
      </c>
      <c r="CC5" s="73">
        <f t="shared" ref="CC5" si="13">CB5+1</f>
        <v>46365</v>
      </c>
      <c r="CD5" s="73">
        <f t="shared" ref="CD5" si="14">CC5+1</f>
        <v>46366</v>
      </c>
      <c r="CE5" s="73">
        <f t="shared" ref="CE5" si="15">CD5+1</f>
        <v>46367</v>
      </c>
      <c r="CF5" s="73">
        <f t="shared" ref="CF5" si="16">CE5+1</f>
        <v>46368</v>
      </c>
      <c r="CG5" s="74">
        <f t="shared" ref="CG5" si="17">CF5+1</f>
        <v>46369</v>
      </c>
    </row>
    <row r="6" spans="1:85" ht="30" customHeight="1" thickBot="1" x14ac:dyDescent="0.35">
      <c r="A6" s="43" t="s">
        <v>5</v>
      </c>
      <c r="B6" s="8" t="s">
        <v>17</v>
      </c>
      <c r="C6" s="9" t="s">
        <v>21</v>
      </c>
      <c r="D6" s="9" t="s">
        <v>22</v>
      </c>
      <c r="E6" s="9" t="s">
        <v>23</v>
      </c>
      <c r="F6" s="9" t="s">
        <v>24</v>
      </c>
      <c r="G6" s="9"/>
      <c r="H6" s="9" t="s">
        <v>25</v>
      </c>
      <c r="I6" s="10" t="str">
        <f t="shared" ref="I6" si="18">LEFT(TEXT(I5,"ddd"),1)</f>
        <v>l</v>
      </c>
      <c r="J6" s="10" t="str">
        <f t="shared" ref="J6:AR6" si="19">LEFT(TEXT(J5,"ddd"),1)</f>
        <v>m</v>
      </c>
      <c r="K6" s="10" t="str">
        <f t="shared" si="19"/>
        <v>m</v>
      </c>
      <c r="L6" s="10" t="str">
        <f t="shared" si="19"/>
        <v>j</v>
      </c>
      <c r="M6" s="10" t="str">
        <f t="shared" si="19"/>
        <v>v</v>
      </c>
      <c r="N6" s="10" t="str">
        <f t="shared" si="19"/>
        <v>s</v>
      </c>
      <c r="O6" s="10" t="str">
        <f t="shared" si="19"/>
        <v>d</v>
      </c>
      <c r="P6" s="10" t="str">
        <f t="shared" si="19"/>
        <v>l</v>
      </c>
      <c r="Q6" s="10" t="str">
        <f t="shared" si="19"/>
        <v>m</v>
      </c>
      <c r="R6" s="10" t="str">
        <f t="shared" si="19"/>
        <v>m</v>
      </c>
      <c r="S6" s="10" t="str">
        <f t="shared" si="19"/>
        <v>j</v>
      </c>
      <c r="T6" s="10" t="str">
        <f t="shared" si="19"/>
        <v>v</v>
      </c>
      <c r="U6" s="10" t="str">
        <f t="shared" si="19"/>
        <v>s</v>
      </c>
      <c r="V6" s="10" t="str">
        <f t="shared" si="19"/>
        <v>d</v>
      </c>
      <c r="W6" s="10" t="str">
        <f t="shared" si="19"/>
        <v>l</v>
      </c>
      <c r="X6" s="10" t="str">
        <f t="shared" si="19"/>
        <v>m</v>
      </c>
      <c r="Y6" s="10" t="str">
        <f t="shared" si="19"/>
        <v>m</v>
      </c>
      <c r="Z6" s="10" t="str">
        <f t="shared" si="19"/>
        <v>j</v>
      </c>
      <c r="AA6" s="10" t="str">
        <f t="shared" si="19"/>
        <v>v</v>
      </c>
      <c r="AB6" s="10" t="str">
        <f t="shared" si="19"/>
        <v>s</v>
      </c>
      <c r="AC6" s="10" t="str">
        <f t="shared" si="19"/>
        <v>d</v>
      </c>
      <c r="AD6" s="10" t="str">
        <f t="shared" si="19"/>
        <v>l</v>
      </c>
      <c r="AE6" s="10" t="str">
        <f t="shared" si="19"/>
        <v>m</v>
      </c>
      <c r="AF6" s="10" t="str">
        <f t="shared" si="19"/>
        <v>m</v>
      </c>
      <c r="AG6" s="10" t="str">
        <f t="shared" si="19"/>
        <v>j</v>
      </c>
      <c r="AH6" s="10" t="str">
        <f t="shared" si="19"/>
        <v>v</v>
      </c>
      <c r="AI6" s="10" t="str">
        <f t="shared" si="19"/>
        <v>s</v>
      </c>
      <c r="AJ6" s="10" t="str">
        <f t="shared" si="19"/>
        <v>d</v>
      </c>
      <c r="AK6" s="10" t="str">
        <f t="shared" si="19"/>
        <v>l</v>
      </c>
      <c r="AL6" s="10" t="str">
        <f t="shared" si="19"/>
        <v>m</v>
      </c>
      <c r="AM6" s="10" t="str">
        <f t="shared" si="19"/>
        <v>m</v>
      </c>
      <c r="AN6" s="10" t="str">
        <f t="shared" si="19"/>
        <v>j</v>
      </c>
      <c r="AO6" s="10" t="str">
        <f t="shared" si="19"/>
        <v>v</v>
      </c>
      <c r="AP6" s="10" t="str">
        <f t="shared" si="19"/>
        <v>s</v>
      </c>
      <c r="AQ6" s="10" t="str">
        <f t="shared" si="19"/>
        <v>d</v>
      </c>
      <c r="AR6" s="10" t="str">
        <f t="shared" si="19"/>
        <v>l</v>
      </c>
      <c r="AS6" s="10" t="str">
        <f t="shared" ref="AS6:BL6" si="20">LEFT(TEXT(AS5,"ddd"),1)</f>
        <v>m</v>
      </c>
      <c r="AT6" s="10" t="str">
        <f t="shared" si="20"/>
        <v>m</v>
      </c>
      <c r="AU6" s="10" t="str">
        <f t="shared" si="20"/>
        <v>j</v>
      </c>
      <c r="AV6" s="10" t="str">
        <f t="shared" si="20"/>
        <v>v</v>
      </c>
      <c r="AW6" s="10" t="str">
        <f t="shared" si="20"/>
        <v>s</v>
      </c>
      <c r="AX6" s="10" t="str">
        <f t="shared" si="20"/>
        <v>d</v>
      </c>
      <c r="AY6" s="10" t="str">
        <f t="shared" si="20"/>
        <v>l</v>
      </c>
      <c r="AZ6" s="10" t="str">
        <f t="shared" si="20"/>
        <v>m</v>
      </c>
      <c r="BA6" s="10" t="str">
        <f t="shared" si="20"/>
        <v>m</v>
      </c>
      <c r="BB6" s="10" t="str">
        <f t="shared" si="20"/>
        <v>j</v>
      </c>
      <c r="BC6" s="10" t="str">
        <f t="shared" si="20"/>
        <v>v</v>
      </c>
      <c r="BD6" s="10" t="str">
        <f t="shared" si="20"/>
        <v>s</v>
      </c>
      <c r="BE6" s="10" t="str">
        <f t="shared" si="20"/>
        <v>d</v>
      </c>
      <c r="BF6" s="10" t="str">
        <f t="shared" si="20"/>
        <v>l</v>
      </c>
      <c r="BG6" s="10" t="str">
        <f t="shared" si="20"/>
        <v>m</v>
      </c>
      <c r="BH6" s="10" t="str">
        <f t="shared" si="20"/>
        <v>m</v>
      </c>
      <c r="BI6" s="10" t="str">
        <f t="shared" si="20"/>
        <v>j</v>
      </c>
      <c r="BJ6" s="10" t="str">
        <f t="shared" si="20"/>
        <v>v</v>
      </c>
      <c r="BK6" s="10" t="str">
        <f t="shared" si="20"/>
        <v>s</v>
      </c>
      <c r="BL6" s="10" t="str">
        <f t="shared" si="20"/>
        <v>d</v>
      </c>
      <c r="BM6" s="10" t="str">
        <f t="shared" ref="BM6:BS6" si="21">LEFT(TEXT(BM5,"ddd"),1)</f>
        <v>l</v>
      </c>
      <c r="BN6" s="10" t="str">
        <f t="shared" si="21"/>
        <v>m</v>
      </c>
      <c r="BO6" s="10" t="str">
        <f t="shared" si="21"/>
        <v>m</v>
      </c>
      <c r="BP6" s="10" t="str">
        <f t="shared" si="21"/>
        <v>j</v>
      </c>
      <c r="BQ6" s="10" t="str">
        <f t="shared" si="21"/>
        <v>v</v>
      </c>
      <c r="BR6" s="10" t="str">
        <f t="shared" si="21"/>
        <v>s</v>
      </c>
      <c r="BS6" s="10" t="str">
        <f t="shared" si="21"/>
        <v>d</v>
      </c>
      <c r="BT6" s="10" t="str">
        <f t="shared" ref="BT6:CG6" si="22">LEFT(TEXT(BT5,"ddd"),1)</f>
        <v>l</v>
      </c>
      <c r="BU6" s="10" t="str">
        <f t="shared" si="22"/>
        <v>m</v>
      </c>
      <c r="BV6" s="10" t="str">
        <f t="shared" si="22"/>
        <v>m</v>
      </c>
      <c r="BW6" s="10" t="str">
        <f t="shared" si="22"/>
        <v>j</v>
      </c>
      <c r="BX6" s="10" t="str">
        <f t="shared" si="22"/>
        <v>v</v>
      </c>
      <c r="BY6" s="10" t="str">
        <f t="shared" si="22"/>
        <v>s</v>
      </c>
      <c r="BZ6" s="10" t="str">
        <f t="shared" si="22"/>
        <v>d</v>
      </c>
      <c r="CA6" s="10" t="str">
        <f t="shared" si="22"/>
        <v>l</v>
      </c>
      <c r="CB6" s="10" t="str">
        <f t="shared" si="22"/>
        <v>m</v>
      </c>
      <c r="CC6" s="10" t="str">
        <f t="shared" si="22"/>
        <v>m</v>
      </c>
      <c r="CD6" s="10" t="str">
        <f t="shared" si="22"/>
        <v>j</v>
      </c>
      <c r="CE6" s="10" t="str">
        <f t="shared" si="22"/>
        <v>v</v>
      </c>
      <c r="CF6" s="10" t="str">
        <f t="shared" si="22"/>
        <v>s</v>
      </c>
      <c r="CG6" s="10" t="str">
        <f t="shared" si="22"/>
        <v>d</v>
      </c>
    </row>
    <row r="7" spans="1:85" ht="30" hidden="1" customHeight="1" thickBot="1" x14ac:dyDescent="0.35">
      <c r="A7" s="42" t="s">
        <v>6</v>
      </c>
      <c r="C7" s="45"/>
      <c r="E7"/>
      <c r="H7"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row>
    <row r="8" spans="1:85" s="3" customFormat="1" ht="30" customHeight="1" thickBot="1" x14ac:dyDescent="0.35">
      <c r="A8" s="43" t="s">
        <v>7</v>
      </c>
      <c r="B8" s="15" t="s">
        <v>41</v>
      </c>
      <c r="C8" s="49"/>
      <c r="D8" s="16"/>
      <c r="E8" s="64">
        <v>46293</v>
      </c>
      <c r="F8" s="65">
        <v>46364</v>
      </c>
      <c r="G8" s="14"/>
      <c r="H8" s="14">
        <f t="shared" ref="H8:H37" si="23">IF(OR(ISBLANK(task_start),ISBLANK(task_end)),"",task_end-task_start+1)</f>
        <v>72</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row>
    <row r="9" spans="1:85" s="3" customFormat="1" ht="30" customHeight="1" thickBot="1" x14ac:dyDescent="0.35">
      <c r="A9" s="43" t="s">
        <v>8</v>
      </c>
      <c r="B9" s="56" t="s">
        <v>51</v>
      </c>
      <c r="C9" s="50" t="s">
        <v>43</v>
      </c>
      <c r="D9" s="17">
        <v>0</v>
      </c>
      <c r="E9" s="75">
        <v>46293</v>
      </c>
      <c r="F9" s="75">
        <v>46299</v>
      </c>
      <c r="G9" s="14"/>
      <c r="H9" s="14">
        <f t="shared" si="23"/>
        <v>7</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row>
    <row r="10" spans="1:85" s="3" customFormat="1" ht="30" customHeight="1" thickBot="1" x14ac:dyDescent="0.35">
      <c r="A10" s="43" t="s">
        <v>9</v>
      </c>
      <c r="B10" s="56" t="s">
        <v>52</v>
      </c>
      <c r="C10" s="50" t="s">
        <v>43</v>
      </c>
      <c r="D10" s="17">
        <v>0</v>
      </c>
      <c r="E10" s="75">
        <v>46300</v>
      </c>
      <c r="F10" s="75">
        <v>46306</v>
      </c>
      <c r="G10" s="14"/>
      <c r="H10" s="14">
        <f t="shared" si="23"/>
        <v>7</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row>
    <row r="11" spans="1:85" s="3" customFormat="1" ht="30" customHeight="1" thickBot="1" x14ac:dyDescent="0.35">
      <c r="A11" s="42"/>
      <c r="B11" s="56" t="s">
        <v>44</v>
      </c>
      <c r="C11" s="50" t="s">
        <v>43</v>
      </c>
      <c r="D11" s="17">
        <v>0</v>
      </c>
      <c r="E11" s="75">
        <v>46307</v>
      </c>
      <c r="F11" s="75">
        <v>46308</v>
      </c>
      <c r="G11" s="14"/>
      <c r="H11" s="14"/>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row>
    <row r="12" spans="1:85" s="3" customFormat="1" ht="30" customHeight="1" thickBot="1" x14ac:dyDescent="0.35">
      <c r="A12" s="42"/>
      <c r="B12" s="56" t="s">
        <v>45</v>
      </c>
      <c r="C12" s="50" t="s">
        <v>43</v>
      </c>
      <c r="D12" s="17">
        <v>0</v>
      </c>
      <c r="E12" s="75">
        <v>46309</v>
      </c>
      <c r="F12" s="75">
        <v>46310</v>
      </c>
      <c r="G12" s="14"/>
      <c r="H12" s="14"/>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row>
    <row r="13" spans="1:85" s="3" customFormat="1" ht="30" customHeight="1" thickBot="1" x14ac:dyDescent="0.35">
      <c r="A13" s="42"/>
      <c r="B13" s="56" t="s">
        <v>46</v>
      </c>
      <c r="C13" s="50" t="s">
        <v>43</v>
      </c>
      <c r="D13" s="17">
        <v>0</v>
      </c>
      <c r="E13" s="75">
        <v>46311</v>
      </c>
      <c r="F13" s="75">
        <v>46313</v>
      </c>
      <c r="G13" s="14"/>
      <c r="H13" s="14"/>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row>
    <row r="14" spans="1:85" s="3" customFormat="1" ht="30" customHeight="1" thickBot="1" x14ac:dyDescent="0.35">
      <c r="A14" s="42"/>
      <c r="B14" s="56" t="s">
        <v>47</v>
      </c>
      <c r="C14" s="50" t="s">
        <v>43</v>
      </c>
      <c r="D14" s="17">
        <v>0</v>
      </c>
      <c r="E14" s="75">
        <v>46314</v>
      </c>
      <c r="F14" s="75">
        <v>46316</v>
      </c>
      <c r="G14" s="14"/>
      <c r="H14" s="14"/>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row>
    <row r="15" spans="1:85" s="3" customFormat="1" ht="30" customHeight="1" thickBot="1" x14ac:dyDescent="0.35">
      <c r="A15" s="42"/>
      <c r="B15" s="56" t="s">
        <v>53</v>
      </c>
      <c r="C15" s="50" t="s">
        <v>43</v>
      </c>
      <c r="D15" s="17">
        <v>0</v>
      </c>
      <c r="E15" s="75">
        <v>46358</v>
      </c>
      <c r="F15" s="75">
        <v>46361</v>
      </c>
      <c r="G15" s="14"/>
      <c r="H15" s="14">
        <f t="shared" si="23"/>
        <v>4</v>
      </c>
      <c r="I15" s="28"/>
      <c r="J15" s="28"/>
      <c r="K15" s="28"/>
      <c r="L15" s="28"/>
      <c r="M15" s="28"/>
      <c r="N15" s="28"/>
      <c r="O15" s="28"/>
      <c r="P15" s="28"/>
      <c r="Q15" s="28"/>
      <c r="R15" s="28"/>
      <c r="S15" s="28"/>
      <c r="T15" s="28"/>
      <c r="U15" s="28"/>
      <c r="V15" s="28"/>
      <c r="W15" s="28"/>
      <c r="X15" s="28"/>
      <c r="Y15" s="29"/>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row>
    <row r="16" spans="1:85" s="3" customFormat="1" ht="30" customHeight="1" thickBot="1" x14ac:dyDescent="0.35">
      <c r="A16" s="42"/>
      <c r="B16" s="56" t="s">
        <v>54</v>
      </c>
      <c r="C16" s="50" t="s">
        <v>43</v>
      </c>
      <c r="D16" s="17">
        <v>0</v>
      </c>
      <c r="E16" s="75">
        <v>46362</v>
      </c>
      <c r="F16" s="75">
        <v>46364</v>
      </c>
      <c r="G16" s="14"/>
      <c r="H16" s="14">
        <f t="shared" si="23"/>
        <v>3</v>
      </c>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row>
    <row r="17" spans="1:85" s="3" customFormat="1" ht="30" customHeight="1" thickBot="1" x14ac:dyDescent="0.35">
      <c r="A17" s="43" t="s">
        <v>10</v>
      </c>
      <c r="B17" s="18" t="s">
        <v>42</v>
      </c>
      <c r="C17" s="51"/>
      <c r="D17" s="19"/>
      <c r="E17" s="66">
        <v>46317</v>
      </c>
      <c r="F17" s="67">
        <v>46326</v>
      </c>
      <c r="G17" s="14"/>
      <c r="H17" s="14">
        <f t="shared" si="23"/>
        <v>10</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row>
    <row r="18" spans="1:85" s="3" customFormat="1" ht="30" customHeight="1" thickBot="1" x14ac:dyDescent="0.35">
      <c r="A18" s="43"/>
      <c r="B18" s="57" t="s">
        <v>55</v>
      </c>
      <c r="C18" s="52" t="s">
        <v>43</v>
      </c>
      <c r="D18" s="20">
        <v>0</v>
      </c>
      <c r="E18" s="76">
        <v>46317</v>
      </c>
      <c r="F18" s="76">
        <v>46319</v>
      </c>
      <c r="G18" s="14"/>
      <c r="H18" s="14">
        <f t="shared" si="23"/>
        <v>3</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row>
    <row r="19" spans="1:85" s="3" customFormat="1" ht="30" customHeight="1" thickBot="1" x14ac:dyDescent="0.35">
      <c r="A19" s="42"/>
      <c r="B19" s="57" t="s">
        <v>48</v>
      </c>
      <c r="C19" s="52" t="s">
        <v>43</v>
      </c>
      <c r="D19" s="20">
        <v>0</v>
      </c>
      <c r="E19" s="76">
        <v>46320</v>
      </c>
      <c r="F19" s="76">
        <v>46322</v>
      </c>
      <c r="G19" s="14"/>
      <c r="H19" s="14">
        <f t="shared" si="23"/>
        <v>3</v>
      </c>
      <c r="I19" s="28"/>
      <c r="J19" s="28"/>
      <c r="K19" s="28"/>
      <c r="L19" s="28"/>
      <c r="M19" s="28"/>
      <c r="N19" s="28"/>
      <c r="O19" s="28"/>
      <c r="P19" s="28"/>
      <c r="Q19" s="28"/>
      <c r="R19" s="28"/>
      <c r="S19" s="28"/>
      <c r="T19" s="28"/>
      <c r="U19" s="29"/>
      <c r="V19" s="29"/>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row>
    <row r="20" spans="1:85" s="3" customFormat="1" ht="30" customHeight="1" thickBot="1" x14ac:dyDescent="0.35">
      <c r="A20" s="42"/>
      <c r="B20" s="57" t="s">
        <v>49</v>
      </c>
      <c r="C20" s="52" t="s">
        <v>43</v>
      </c>
      <c r="D20" s="20">
        <v>0</v>
      </c>
      <c r="E20" s="76">
        <v>46323</v>
      </c>
      <c r="F20" s="76">
        <v>46323</v>
      </c>
      <c r="G20" s="14"/>
      <c r="H20" s="14">
        <f t="shared" si="23"/>
        <v>1</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row>
    <row r="21" spans="1:85" s="3" customFormat="1" ht="30" customHeight="1" thickBot="1" x14ac:dyDescent="0.35">
      <c r="A21" s="42"/>
      <c r="B21" s="57" t="s">
        <v>56</v>
      </c>
      <c r="C21" s="52" t="s">
        <v>43</v>
      </c>
      <c r="D21" s="20">
        <v>0</v>
      </c>
      <c r="E21" s="76">
        <v>46324</v>
      </c>
      <c r="F21" s="76">
        <v>46325</v>
      </c>
      <c r="G21" s="14"/>
      <c r="H21" s="14">
        <f t="shared" si="23"/>
        <v>2</v>
      </c>
      <c r="I21" s="28"/>
      <c r="J21" s="28"/>
      <c r="K21" s="28"/>
      <c r="L21" s="28"/>
      <c r="M21" s="28"/>
      <c r="N21" s="28"/>
      <c r="O21" s="28"/>
      <c r="P21" s="28"/>
      <c r="Q21" s="28"/>
      <c r="R21" s="28"/>
      <c r="S21" s="28"/>
      <c r="T21" s="28"/>
      <c r="U21" s="28"/>
      <c r="V21" s="28"/>
      <c r="W21" s="28"/>
      <c r="X21" s="28"/>
      <c r="Y21" s="29"/>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row>
    <row r="22" spans="1:85" s="3" customFormat="1" ht="30" customHeight="1" thickBot="1" x14ac:dyDescent="0.35">
      <c r="A22" s="42"/>
      <c r="B22" s="57" t="s">
        <v>50</v>
      </c>
      <c r="C22" s="52" t="s">
        <v>43</v>
      </c>
      <c r="D22" s="20">
        <v>0</v>
      </c>
      <c r="E22" s="76">
        <v>46326</v>
      </c>
      <c r="F22" s="76">
        <v>46326</v>
      </c>
      <c r="G22" s="14"/>
      <c r="H22" s="14">
        <f t="shared" si="23"/>
        <v>1</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row>
    <row r="23" spans="1:85" s="3" customFormat="1" ht="30" customHeight="1" thickBot="1" x14ac:dyDescent="0.35">
      <c r="A23" s="42" t="s">
        <v>11</v>
      </c>
      <c r="B23" s="21" t="s">
        <v>57</v>
      </c>
      <c r="C23" s="53"/>
      <c r="D23" s="22"/>
      <c r="E23" s="68">
        <v>46327</v>
      </c>
      <c r="F23" s="69">
        <v>46340</v>
      </c>
      <c r="G23" s="14"/>
      <c r="H23" s="14">
        <f t="shared" si="23"/>
        <v>14</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row>
    <row r="24" spans="1:85" s="3" customFormat="1" ht="30" customHeight="1" thickBot="1" x14ac:dyDescent="0.35">
      <c r="A24" s="42"/>
      <c r="B24" s="58" t="s">
        <v>58</v>
      </c>
      <c r="C24" s="54" t="s">
        <v>43</v>
      </c>
      <c r="D24" s="23">
        <v>0</v>
      </c>
      <c r="E24" s="77">
        <v>46327</v>
      </c>
      <c r="F24" s="77">
        <v>46329</v>
      </c>
      <c r="G24" s="14"/>
      <c r="H24" s="14">
        <f t="shared" si="23"/>
        <v>3</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row>
    <row r="25" spans="1:85" s="3" customFormat="1" ht="30" customHeight="1" thickBot="1" x14ac:dyDescent="0.35">
      <c r="A25" s="42"/>
      <c r="B25" s="58" t="s">
        <v>59</v>
      </c>
      <c r="C25" s="54" t="s">
        <v>43</v>
      </c>
      <c r="D25" s="23">
        <v>0</v>
      </c>
      <c r="E25" s="77">
        <v>46330</v>
      </c>
      <c r="F25" s="77">
        <v>46332</v>
      </c>
      <c r="G25" s="14"/>
      <c r="H25" s="14">
        <f t="shared" si="23"/>
        <v>3</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row>
    <row r="26" spans="1:85" s="3" customFormat="1" ht="30" customHeight="1" thickBot="1" x14ac:dyDescent="0.35">
      <c r="A26" s="42"/>
      <c r="B26" s="58" t="s">
        <v>60</v>
      </c>
      <c r="C26" s="54" t="s">
        <v>43</v>
      </c>
      <c r="D26" s="23">
        <v>0</v>
      </c>
      <c r="E26" s="77">
        <v>46333</v>
      </c>
      <c r="F26" s="77">
        <v>46336</v>
      </c>
      <c r="G26" s="14"/>
      <c r="H26" s="14">
        <f t="shared" si="23"/>
        <v>4</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row>
    <row r="27" spans="1:85" s="3" customFormat="1" ht="30" customHeight="1" thickBot="1" x14ac:dyDescent="0.35">
      <c r="A27" s="42"/>
      <c r="B27" s="58" t="s">
        <v>61</v>
      </c>
      <c r="C27" s="54" t="s">
        <v>43</v>
      </c>
      <c r="D27" s="23">
        <v>0</v>
      </c>
      <c r="E27" s="77">
        <v>46337</v>
      </c>
      <c r="F27" s="77">
        <v>46340</v>
      </c>
      <c r="G27" s="14"/>
      <c r="H27" s="14">
        <f t="shared" si="23"/>
        <v>4</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row>
    <row r="28" spans="1:85" s="3" customFormat="1" ht="30" customHeight="1" thickBot="1" x14ac:dyDescent="0.35">
      <c r="A28" s="42" t="s">
        <v>12</v>
      </c>
      <c r="B28" s="81" t="s">
        <v>62</v>
      </c>
      <c r="C28" s="79"/>
      <c r="D28" s="80"/>
      <c r="E28" s="82">
        <v>46341</v>
      </c>
      <c r="F28" s="83">
        <v>46349</v>
      </c>
      <c r="G28" s="14"/>
      <c r="H28" s="14">
        <f t="shared" si="23"/>
        <v>9</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row>
    <row r="29" spans="1:85" s="3" customFormat="1" ht="30" customHeight="1" thickBot="1" x14ac:dyDescent="0.35">
      <c r="A29" s="43" t="s">
        <v>13</v>
      </c>
      <c r="B29" s="84" t="s">
        <v>63</v>
      </c>
      <c r="C29" s="85" t="s">
        <v>43</v>
      </c>
      <c r="D29" s="86">
        <v>0</v>
      </c>
      <c r="E29" s="87">
        <v>46341</v>
      </c>
      <c r="F29" s="87">
        <v>46344</v>
      </c>
      <c r="G29" s="14"/>
      <c r="H29" s="14">
        <f t="shared" si="23"/>
        <v>4</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row>
    <row r="30" spans="1:85" ht="30" customHeight="1" thickBot="1" x14ac:dyDescent="0.35">
      <c r="B30" s="84" t="s">
        <v>64</v>
      </c>
      <c r="C30" s="85" t="s">
        <v>43</v>
      </c>
      <c r="D30" s="86">
        <v>0</v>
      </c>
      <c r="E30" s="87">
        <v>46345</v>
      </c>
      <c r="F30" s="87">
        <v>46346</v>
      </c>
      <c r="G30" s="14"/>
      <c r="H30" s="14">
        <f t="shared" si="23"/>
        <v>2</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row>
    <row r="31" spans="1:85" ht="30" customHeight="1" thickBot="1" x14ac:dyDescent="0.35">
      <c r="B31" s="84" t="s">
        <v>65</v>
      </c>
      <c r="C31" s="85" t="s">
        <v>43</v>
      </c>
      <c r="D31" s="86">
        <v>0</v>
      </c>
      <c r="E31" s="87">
        <v>46347</v>
      </c>
      <c r="F31" s="87">
        <v>46349</v>
      </c>
      <c r="G31" s="14"/>
      <c r="H31" s="14">
        <f t="shared" si="23"/>
        <v>3</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row>
    <row r="32" spans="1:85" ht="30" customHeight="1" thickBot="1" x14ac:dyDescent="0.35">
      <c r="B32" s="92" t="s">
        <v>66</v>
      </c>
      <c r="C32" s="93"/>
      <c r="D32" s="94"/>
      <c r="E32" s="95">
        <v>46350</v>
      </c>
      <c r="F32" s="95">
        <v>46357</v>
      </c>
      <c r="G32" s="14"/>
      <c r="H32" s="14"/>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row>
    <row r="33" spans="2:85" ht="30" customHeight="1" thickBot="1" x14ac:dyDescent="0.35">
      <c r="B33" s="88" t="s">
        <v>67</v>
      </c>
      <c r="C33" s="89" t="s">
        <v>43</v>
      </c>
      <c r="D33" s="90">
        <v>0</v>
      </c>
      <c r="E33" s="91">
        <v>46350</v>
      </c>
      <c r="F33" s="91">
        <v>46352</v>
      </c>
      <c r="G33" s="14"/>
      <c r="H33" s="14"/>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row>
    <row r="34" spans="2:85" ht="30" customHeight="1" thickBot="1" x14ac:dyDescent="0.35">
      <c r="B34" s="88" t="s">
        <v>68</v>
      </c>
      <c r="C34" s="89" t="s">
        <v>43</v>
      </c>
      <c r="D34" s="90">
        <v>0</v>
      </c>
      <c r="E34" s="91">
        <v>46353</v>
      </c>
      <c r="F34" s="91">
        <v>46355</v>
      </c>
      <c r="G34" s="14"/>
      <c r="H34" s="14"/>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row>
    <row r="35" spans="2:85" ht="30" customHeight="1" thickBot="1" x14ac:dyDescent="0.35">
      <c r="B35" s="88" t="s">
        <v>69</v>
      </c>
      <c r="C35" s="89" t="s">
        <v>43</v>
      </c>
      <c r="D35" s="90">
        <v>0</v>
      </c>
      <c r="E35" s="91">
        <v>46356</v>
      </c>
      <c r="F35" s="91">
        <v>46357</v>
      </c>
      <c r="G35" s="14"/>
      <c r="H35" s="14">
        <f t="shared" si="23"/>
        <v>2</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row>
    <row r="36" spans="2:85" ht="30" customHeight="1" thickBot="1" x14ac:dyDescent="0.35">
      <c r="B36" s="59"/>
      <c r="C36" s="55"/>
      <c r="D36" s="13"/>
      <c r="E36" s="78"/>
      <c r="F36" s="78"/>
      <c r="G36" s="14"/>
      <c r="H36" s="14" t="str">
        <f t="shared" si="23"/>
        <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row>
    <row r="37" spans="2:85" ht="30" customHeight="1" thickBot="1" x14ac:dyDescent="0.35">
      <c r="B37" s="24" t="s">
        <v>18</v>
      </c>
      <c r="C37" s="25"/>
      <c r="D37" s="26"/>
      <c r="E37" s="70"/>
      <c r="F37" s="71"/>
      <c r="G37" s="27"/>
      <c r="H37" s="27" t="str">
        <f t="shared" si="23"/>
        <v/>
      </c>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row>
    <row r="38" spans="2:85" ht="30" customHeight="1" x14ac:dyDescent="0.3">
      <c r="G38" s="6"/>
    </row>
    <row r="39" spans="2:85" ht="30" customHeight="1" x14ac:dyDescent="0.3">
      <c r="C39" s="11"/>
      <c r="F39" s="44"/>
    </row>
    <row r="40" spans="2:85" ht="30" customHeight="1" x14ac:dyDescent="0.3">
      <c r="C40" s="12"/>
    </row>
  </sheetData>
  <mergeCells count="14">
    <mergeCell ref="C3:D3"/>
    <mergeCell ref="C4:D4"/>
    <mergeCell ref="AK4:AQ4"/>
    <mergeCell ref="AR4:AX4"/>
    <mergeCell ref="AY4:BE4"/>
    <mergeCell ref="BM4:BS4"/>
    <mergeCell ref="BT4:BZ4"/>
    <mergeCell ref="CA4:CG4"/>
    <mergeCell ref="BF4:BL4"/>
    <mergeCell ref="E3:F3"/>
    <mergeCell ref="I4:O4"/>
    <mergeCell ref="P4:V4"/>
    <mergeCell ref="W4:AC4"/>
    <mergeCell ref="AD4:AJ4"/>
  </mergeCells>
  <conditionalFormatting sqref="D7:D37">
    <cfRule type="dataBar" priority="2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CG37">
    <cfRule type="expression" dxfId="2" priority="3">
      <formula>AND(TODAY()&gt;=I$5,TODAY()&lt;J$5)</formula>
    </cfRule>
  </conditionalFormatting>
  <conditionalFormatting sqref="I7:CG37">
    <cfRule type="expression" dxfId="1" priority="1">
      <formula>AND(task_start&lt;=I$5,ROUNDDOWN((task_end-task_start+1)*task_progress,0)+task_start-1&gt;=I$5)</formula>
    </cfRule>
    <cfRule type="expression" dxfId="0" priority="2" stopIfTrue="1">
      <formula>AND(task_end&gt;=I$5,task_start&lt;J$5)</formula>
    </cfRule>
  </conditionalFormatting>
  <dataValidations disablePrompts="1"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48"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32" customWidth="1"/>
    <col min="2" max="16384" width="9.109375" style="2"/>
  </cols>
  <sheetData>
    <row r="1" spans="1:2" ht="46.5" customHeight="1" x14ac:dyDescent="0.3"/>
    <row r="2" spans="1:2" s="34" customFormat="1" ht="15.6" x14ac:dyDescent="0.3">
      <c r="A2" s="33" t="s">
        <v>26</v>
      </c>
      <c r="B2" s="33"/>
    </row>
    <row r="3" spans="1:2" s="38" customFormat="1" ht="27" customHeight="1" x14ac:dyDescent="0.3">
      <c r="A3" s="63" t="s">
        <v>27</v>
      </c>
      <c r="B3" s="39"/>
    </row>
    <row r="4" spans="1:2" s="35" customFormat="1" ht="25.8" x14ac:dyDescent="0.5">
      <c r="A4" s="36" t="s">
        <v>28</v>
      </c>
    </row>
    <row r="5" spans="1:2" ht="74.099999999999994" customHeight="1" x14ac:dyDescent="0.3">
      <c r="A5" s="37" t="s">
        <v>29</v>
      </c>
    </row>
    <row r="6" spans="1:2" ht="26.25" customHeight="1" x14ac:dyDescent="0.3">
      <c r="A6" s="36" t="s">
        <v>30</v>
      </c>
    </row>
    <row r="7" spans="1:2" s="32" customFormat="1" ht="215.25" customHeight="1" x14ac:dyDescent="0.3">
      <c r="A7" s="41" t="s">
        <v>31</v>
      </c>
    </row>
    <row r="8" spans="1:2" s="35" customFormat="1" ht="25.8" x14ac:dyDescent="0.5">
      <c r="A8" s="36" t="s">
        <v>32</v>
      </c>
    </row>
    <row r="9" spans="1:2" ht="57.6" x14ac:dyDescent="0.3">
      <c r="A9" s="37" t="s">
        <v>33</v>
      </c>
    </row>
    <row r="10" spans="1:2" s="32" customFormat="1" ht="27.9" customHeight="1" x14ac:dyDescent="0.3">
      <c r="A10" s="40" t="s">
        <v>34</v>
      </c>
    </row>
    <row r="11" spans="1:2" s="35" customFormat="1" ht="25.8" x14ac:dyDescent="0.5">
      <c r="A11" s="36" t="s">
        <v>35</v>
      </c>
    </row>
    <row r="12" spans="1:2" ht="28.8" x14ac:dyDescent="0.3">
      <c r="A12" s="37" t="s">
        <v>36</v>
      </c>
    </row>
    <row r="13" spans="1:2" s="32" customFormat="1" ht="27.9" customHeight="1" x14ac:dyDescent="0.3">
      <c r="A13" s="40" t="s">
        <v>37</v>
      </c>
    </row>
    <row r="14" spans="1:2" s="35" customFormat="1" ht="25.8" x14ac:dyDescent="0.5">
      <c r="A14" s="36" t="s">
        <v>38</v>
      </c>
    </row>
    <row r="15" spans="1:2" ht="96.75" customHeight="1" x14ac:dyDescent="0.3">
      <c r="A15" s="37" t="s">
        <v>39</v>
      </c>
    </row>
    <row r="16" spans="1:2" ht="86.4" x14ac:dyDescent="0.3">
      <c r="A16" s="37" t="s">
        <v>40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2026-09-25T05:18:34Z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